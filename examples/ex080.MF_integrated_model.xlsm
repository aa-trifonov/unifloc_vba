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Git\unifloc_vba\examples\"/>
    </mc:Choice>
  </mc:AlternateContent>
  <xr:revisionPtr revIDLastSave="0" documentId="13_ncr:1_{A9BD8232-F175-4FDC-9AFD-F211AC2CD17E}" xr6:coauthVersionLast="45" xr6:coauthVersionMax="45" xr10:uidLastSave="{00000000-0000-0000-0000-000000000000}"/>
  <bookViews>
    <workbookView xWindow="-120" yWindow="-120" windowWidth="29040" windowHeight="15840" tabRatio="422" xr2:uid="{00000000-000D-0000-FFFF-FFFF00000000}"/>
  </bookViews>
  <sheets>
    <sheet name="exercise_Integrated_Model" sheetId="111" r:id="rId1"/>
  </sheets>
  <externalReferences>
    <externalReference r:id="rId2"/>
  </externalReferences>
  <definedNames>
    <definedName name="Bob_" localSheetId="0">exercise_Integrated_Model!$C$18</definedName>
    <definedName name="fw_" localSheetId="0">exercise_Integrated_Model!$C$20</definedName>
    <definedName name="gamma_gas_" localSheetId="0">exercise_Integrated_Model!$C$13</definedName>
    <definedName name="gamma_oil_" localSheetId="0">exercise_Integrated_Model!$C$11</definedName>
    <definedName name="gamma_wat_" localSheetId="0">exercise_Integrated_Model!$C$12</definedName>
    <definedName name="input_0" localSheetId="0">exercise_Integrated_Model!$C$11:$C$20</definedName>
    <definedName name="input_1" localSheetId="0">exercise_Integrated_Model!$C$33:$C$34</definedName>
    <definedName name="input_2" localSheetId="0">exercise_Integrated_Model!$C$37</definedName>
    <definedName name="input_Course" localSheetId="0">exercise_Integrated_Model!$I$3</definedName>
    <definedName name="input_Date" localSheetId="0">exercise_Integrated_Model!$I$1</definedName>
    <definedName name="input_Group" localSheetId="0">exercise_Integrated_Model!$I$4</definedName>
    <definedName name="input_Notes" localSheetId="0">exercise_Integrated_Model!$I$6</definedName>
    <definedName name="input_Student_Name" localSheetId="0">exercise_Integrated_Model!$I$5</definedName>
    <definedName name="input_Version" localSheetId="0">exercise_Integrated_Model!$I$2</definedName>
    <definedName name="muob_" localSheetId="0">exercise_Integrated_Model!$C$19</definedName>
    <definedName name="N_" localSheetId="0">exercise_Integrated_Model!$C$26</definedName>
    <definedName name="output_0" localSheetId="0">exercise_Integrated_Model!$D$43:$E$62</definedName>
    <definedName name="output_1" localSheetId="0">exercise_Integrated_Model!$L$40:$M$62</definedName>
    <definedName name="Pb_" localSheetId="0">exercise_Integrated_Model!$C$21</definedName>
    <definedName name="Pb_cal_" localSheetId="0">exercise_Integrated_Model!$C$16</definedName>
    <definedName name="PI_" localSheetId="0">exercise_Integrated_Model!$C$38</definedName>
    <definedName name="PI_2">exercise_Integrated_Model!$C$38</definedName>
    <definedName name="pline_calc">exercise_Integrated_Model!$O$27</definedName>
    <definedName name="Pres_" localSheetId="0">exercise_Integrated_Model!$C$37</definedName>
    <definedName name="PVT_str_" localSheetId="0">exercise_Integrated_Model!$C$23</definedName>
    <definedName name="Pwftest_" localSheetId="0">exercise_Integrated_Model!$C$34</definedName>
    <definedName name="qltest_" localSheetId="0">exercise_Integrated_Model!$C$33</definedName>
    <definedName name="qmax_" localSheetId="0">exercise_Integrated_Model!$C$39</definedName>
    <definedName name="Rp_" localSheetId="0">exercise_Integrated_Model!$C$15</definedName>
    <definedName name="Rsb_" localSheetId="0">exercise_Integrated_Model!$C$14</definedName>
    <definedName name="Tres_" localSheetId="0">exercise_Integrated_Model!$C$17</definedName>
    <definedName name="tsurface_c">exercise_Integrated_Model!$C$22</definedName>
  </definedNames>
  <calcPr calcId="181029" iterate="1" iterateDelta="0.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7" i="111" l="1"/>
  <c r="AA28" i="111" l="1"/>
  <c r="AA29" i="111"/>
  <c r="AA30" i="111"/>
  <c r="AA31" i="111"/>
  <c r="AA32" i="111"/>
  <c r="AA33" i="111"/>
  <c r="AA34" i="111"/>
  <c r="AA35" i="111"/>
  <c r="AA36" i="111"/>
  <c r="AA37" i="111"/>
  <c r="AA27" i="111"/>
  <c r="G28" i="111"/>
  <c r="C71" i="111"/>
  <c r="C23" i="111" a="1"/>
  <c r="C21" i="111"/>
  <c r="G1" i="111"/>
  <c r="C38" i="111" a="1"/>
  <c r="C72" i="111" a="1"/>
  <c r="C72" i="111" l="1"/>
  <c r="C38" i="111"/>
  <c r="C23" i="111"/>
  <c r="E20" i="111"/>
  <c r="E17" i="111"/>
  <c r="E16" i="111"/>
  <c r="E15" i="111"/>
  <c r="E14" i="111"/>
  <c r="E13" i="111"/>
  <c r="E12" i="111"/>
  <c r="E11" i="111"/>
  <c r="C73" i="111" a="1"/>
  <c r="D78" i="111"/>
  <c r="D44" i="111"/>
  <c r="C39" i="111" a="1"/>
  <c r="E44" i="111"/>
  <c r="Z27" i="111"/>
  <c r="E78" i="111"/>
  <c r="C39" i="111" l="1"/>
  <c r="C73" i="111"/>
  <c r="E21" i="111"/>
  <c r="C79" i="111" l="1"/>
  <c r="C45" i="111"/>
  <c r="D79" i="111"/>
  <c r="E79" i="111" s="1"/>
  <c r="Z28" i="111"/>
  <c r="D45" i="111"/>
  <c r="E45" i="111" s="1"/>
  <c r="C46" i="111" l="1"/>
  <c r="C80" i="111"/>
  <c r="Z29" i="111"/>
  <c r="D46" i="111"/>
  <c r="E46" i="111" s="1"/>
  <c r="D80" i="111"/>
  <c r="E80" i="111" s="1"/>
  <c r="C47" i="111" l="1"/>
  <c r="C81" i="111"/>
  <c r="Z30" i="111"/>
  <c r="D47" i="111"/>
  <c r="E47" i="111" s="1"/>
  <c r="D81" i="111"/>
  <c r="E81" i="111" s="1"/>
  <c r="C48" i="111" l="1"/>
  <c r="C82" i="111"/>
  <c r="Z31" i="111"/>
  <c r="D48" i="111"/>
  <c r="E48" i="111" s="1"/>
  <c r="D82" i="111"/>
  <c r="E82" i="111" s="1"/>
  <c r="C49" i="111" l="1"/>
  <c r="C83" i="111"/>
  <c r="Z32" i="111"/>
  <c r="D49" i="111"/>
  <c r="E49" i="111" s="1"/>
  <c r="D83" i="111"/>
  <c r="E83" i="111" s="1"/>
  <c r="C50" i="111" l="1"/>
  <c r="C84" i="111"/>
  <c r="D84" i="111"/>
  <c r="E84" i="111" s="1"/>
  <c r="Z33" i="111"/>
  <c r="D50" i="111"/>
  <c r="E50" i="111" s="1"/>
  <c r="C51" i="111" l="1"/>
  <c r="C85" i="111"/>
  <c r="D85" i="111"/>
  <c r="E85" i="111" s="1"/>
  <c r="Z34" i="111"/>
  <c r="D51" i="111"/>
  <c r="E51" i="111" s="1"/>
  <c r="C52" i="111" l="1"/>
  <c r="C86" i="111"/>
  <c r="Z35" i="111"/>
  <c r="D52" i="111"/>
  <c r="E52" i="111" s="1"/>
  <c r="D86" i="111"/>
  <c r="E86" i="111" s="1"/>
  <c r="C53" i="111" l="1"/>
  <c r="C87" i="111"/>
  <c r="Z36" i="111"/>
  <c r="D53" i="111"/>
  <c r="E53" i="111" s="1"/>
  <c r="D87" i="111"/>
  <c r="E87" i="111" s="1"/>
  <c r="C54" i="111" l="1"/>
  <c r="C88" i="111"/>
  <c r="Z37" i="111"/>
  <c r="D54" i="111"/>
  <c r="E54" i="111" s="1"/>
  <c r="D88" i="111"/>
  <c r="E88" i="111" s="1"/>
  <c r="F44" i="111"/>
  <c r="F45" i="111"/>
  <c r="F46" i="111"/>
  <c r="F47" i="111"/>
  <c r="F48" i="111"/>
  <c r="F49" i="111"/>
  <c r="F50" i="111"/>
  <c r="F51" i="111"/>
  <c r="F52" i="111"/>
  <c r="F53" i="111"/>
  <c r="F54" i="111"/>
  <c r="F78" i="111"/>
  <c r="F79" i="111"/>
  <c r="F80" i="111"/>
  <c r="F81" i="111"/>
  <c r="F82" i="111"/>
  <c r="F83" i="111"/>
  <c r="F84" i="111"/>
  <c r="F85" i="111"/>
  <c r="F86" i="111"/>
  <c r="F87" i="111"/>
  <c r="F88" i="111"/>
  <c r="G41" i="111"/>
  <c r="G39" i="111"/>
  <c r="G40" i="111"/>
  <c r="G75" i="111"/>
  <c r="O26" i="111"/>
  <c r="O29" i="111"/>
  <c r="G73" i="111"/>
  <c r="G74" i="111"/>
</calcChain>
</file>

<file path=xl/sharedStrings.xml><?xml version="1.0" encoding="utf-8"?>
<sst xmlns="http://schemas.openxmlformats.org/spreadsheetml/2006/main" count="131" uniqueCount="85">
  <si>
    <t>Параметры пласта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</si>
  <si>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</si>
  <si>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</si>
  <si>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</si>
  <si>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</si>
  <si>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</si>
  <si>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</si>
  <si>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</si>
  <si>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</si>
  <si>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</si>
  <si>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</si>
  <si>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</si>
  <si>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</si>
  <si>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</si>
  <si>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</si>
  <si>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</si>
  <si>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</si>
  <si>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</si>
  <si>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</si>
  <si>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</si>
  <si>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</si>
  <si>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</si>
  <si>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</si>
  <si>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</si>
  <si>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</si>
  <si>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</si>
  <si>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</si>
  <si>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</si>
  <si>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</si>
  <si>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</si>
  <si>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</si>
  <si>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</si>
  <si>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</si>
  <si>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</si>
  <si>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</si>
  <si>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</si>
  <si>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</si>
  <si>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</si>
  <si>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</si>
  <si>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</si>
  <si>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</si>
  <si>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</si>
  <si>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</si>
  <si>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</si>
  <si>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</si>
  <si>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</si>
  <si>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</si>
  <si>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</si>
  <si>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</si>
  <si>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</si>
  <si>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</si>
  <si>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</si>
  <si>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Скважина 1</t>
  </si>
  <si>
    <t>Q</t>
  </si>
  <si>
    <t>Pwf</t>
  </si>
  <si>
    <t>Скважина 2</t>
  </si>
  <si>
    <t xml:space="preserve">Температура </t>
  </si>
  <si>
    <t>Диаметры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</si>
  <si>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</si>
  <si>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</si>
  <si>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</si>
  <si>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</si>
  <si>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м</t>
  </si>
  <si>
    <t>мм</t>
  </si>
  <si>
    <t>Pbuf</t>
  </si>
  <si>
    <t>Глубина</t>
  </si>
  <si>
    <t>hydr_cor</t>
  </si>
  <si>
    <t>temp_method</t>
  </si>
  <si>
    <t>Трубопровод</t>
  </si>
  <si>
    <t>P line</t>
  </si>
  <si>
    <t>P УПН</t>
  </si>
  <si>
    <t>tsurface</t>
  </si>
  <si>
    <t>Dtube</t>
  </si>
  <si>
    <t>dchoke</t>
  </si>
  <si>
    <t>dtube</t>
  </si>
  <si>
    <t>Pbuf choke</t>
  </si>
  <si>
    <t>Pbuf well</t>
  </si>
  <si>
    <t>Qliq2</t>
  </si>
  <si>
    <t>Pwf2</t>
  </si>
  <si>
    <t>Pbuf2</t>
  </si>
  <si>
    <t>qliq_total</t>
  </si>
  <si>
    <t>pline</t>
  </si>
  <si>
    <t>pline manual</t>
  </si>
  <si>
    <t>pline calc</t>
  </si>
  <si>
    <t>P plant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</si>
</sst>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6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0" borderId="0" xfId="0" applyAlignment="1">
      <alignment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wrapText="1"/>
    </xf>
    <xf numFmtId="0" fontId="0" fillId="2" borderId="10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9" borderId="2" xfId="0" applyFill="1" applyBorder="1"/>
    <xf numFmtId="0" fontId="0" fillId="3" borderId="2" xfId="0" applyFill="1" applyBorder="1" applyAlignment="1">
      <alignment horizontal="center" vertical="center"/>
    </xf>
    <xf numFmtId="0" fontId="0" fillId="8" borderId="2" xfId="0" applyFill="1" applyBorder="1"/>
    <xf numFmtId="0" fontId="0" fillId="8" borderId="2" xfId="0" applyFill="1" applyBorder="1" applyAlignment="1">
      <alignment wrapText="1"/>
    </xf>
    <xf numFmtId="0" fontId="0" fillId="8" borderId="2" xfId="0" applyFill="1" applyBorder="1" applyAlignment="1">
      <alignment horizontal="center" vertical="center"/>
    </xf>
    <xf numFmtId="0" fontId="0" fillId="10" borderId="2" xfId="0" applyFill="1" applyBorder="1"/>
    <xf numFmtId="0" fontId="0" fillId="8" borderId="2" xfId="0" applyFill="1" applyBorder="1" applyAlignment="1">
      <alignment horizontal="center"/>
    </xf>
    <xf numFmtId="2" fontId="0" fillId="8" borderId="2" xfId="0" applyNumberFormat="1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exercise_Integrated_Model!$A$31</c:f>
              <c:strCache>
                <c:ptCount val="1"/>
                <c:pt idx="0">
                  <c:v>Скважина 1</c:v>
                </c:pt>
              </c:strCache>
            </c:strRef>
          </c:tx>
          <c:xVal>
            <c:numRef>
              <c:f>exercise_Integrated_Model!$C$44:$C$64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exercise_Integrated_Model!$D$44:$D$64</c:f>
              <c:numCache>
                <c:formatCode>General</c:formatCode>
                <c:ptCount val="2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169.17731183692854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85.872708958868301</c:v>
                </c:pt>
                <c:pt idx="9">
                  <c:v>59.075310194042174</c:v>
                </c:pt>
                <c:pt idx="10">
                  <c:v>1.0000000000001039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B8-4152-A555-589B1CD185C7}"/>
            </c:ext>
          </c:extLst>
        </c:ser>
        <c:ser>
          <c:idx val="0"/>
          <c:order val="1"/>
          <c:tx>
            <c:strRef>
              <c:f>exercise_Integrated_Model!$A$65</c:f>
              <c:strCache>
                <c:ptCount val="1"/>
                <c:pt idx="0">
                  <c:v>Скважина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exercise_Integrated_Model!$C$78:$C$98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exercise_Integrated_Model!$D$78:$D$98</c:f>
              <c:numCache>
                <c:formatCode>General</c:formatCode>
                <c:ptCount val="2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169.17731183692854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85.872708958868301</c:v>
                </c:pt>
                <c:pt idx="9">
                  <c:v>59.075310194042174</c:v>
                </c:pt>
                <c:pt idx="10">
                  <c:v>1.0000000000001039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B8-4152-A555-589B1CD185C7}"/>
            </c:ext>
          </c:extLst>
        </c:ser>
        <c:ser>
          <c:idx val="2"/>
          <c:order val="2"/>
          <c:tx>
            <c:v>Скважина 1. Режим работы</c:v>
          </c:tx>
          <c:dPt>
            <c:idx val="0"/>
            <c:marker>
              <c:symbol val="circle"/>
              <c:size val="12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9B8-4152-A555-589B1CD185C7}"/>
              </c:ext>
            </c:extLst>
          </c:dPt>
          <c:xVal>
            <c:numRef>
              <c:f>exercise_Integrated_Model!$G$41</c:f>
              <c:numCache>
                <c:formatCode>0.00</c:formatCode>
                <c:ptCount val="1"/>
                <c:pt idx="0">
                  <c:v>22.562548785896983</c:v>
                </c:pt>
              </c:numCache>
            </c:numRef>
          </c:xVal>
          <c:yVal>
            <c:numRef>
              <c:f>exercise_Integrated_Model!$G$39</c:f>
              <c:numCache>
                <c:formatCode>0</c:formatCode>
                <c:ptCount val="1"/>
                <c:pt idx="0">
                  <c:v>229.69370609269271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9B8-4152-A555-589B1CD185C7}"/>
            </c:ext>
          </c:extLst>
        </c:ser>
        <c:ser>
          <c:idx val="3"/>
          <c:order val="3"/>
          <c:tx>
            <c:v>Скважина 2. Режим работы</c:v>
          </c:tx>
          <c:marker>
            <c:symbol val="circle"/>
            <c:size val="13"/>
            <c:spPr>
              <a:solidFill>
                <a:srgbClr val="00B050"/>
              </a:solidFill>
            </c:spPr>
          </c:marker>
          <c:xVal>
            <c:numRef>
              <c:f>exercise_Integrated_Model!$G$75</c:f>
              <c:numCache>
                <c:formatCode>0.00</c:formatCode>
                <c:ptCount val="1"/>
                <c:pt idx="0">
                  <c:v>115.40988342851381</c:v>
                </c:pt>
              </c:numCache>
            </c:numRef>
          </c:xVal>
          <c:yVal>
            <c:numRef>
              <c:f>exercise_Integrated_Model!$G$73</c:f>
              <c:numCache>
                <c:formatCode>0</c:formatCode>
                <c:ptCount val="1"/>
                <c:pt idx="0">
                  <c:v>198.06555245716879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B8-4152-A555-589B1CD1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№1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exercise_Integrated_Model!$E$43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exercise_Integrated_Model!$C$44:$C$64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exercise_Integrated_Model!$E$44:$E$64</c:f>
              <c:numCache>
                <c:formatCode>General</c:formatCode>
                <c:ptCount val="21"/>
                <c:pt idx="0">
                  <c:v>54.191395741483326</c:v>
                </c:pt>
                <c:pt idx="1">
                  <c:v>19.385161916749396</c:v>
                </c:pt>
                <c:pt idx="2">
                  <c:v>16.871933440220317</c:v>
                </c:pt>
                <c:pt idx="3">
                  <c:v>11.533214357696346</c:v>
                </c:pt>
                <c:pt idx="4">
                  <c:v>4.7460475997644807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9-4729-BC83-E76E3F531599}"/>
            </c:ext>
          </c:extLst>
        </c:ser>
        <c:ser>
          <c:idx val="0"/>
          <c:order val="1"/>
          <c:tx>
            <c:strRef>
              <c:f>exercise_Integrated_Model!$F$43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exercise_Integrated_Model!$C$44:$C$64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exercise_Integrated_Model!$F$44:$F$64</c:f>
              <c:numCache>
                <c:formatCode>General</c:formatCode>
                <c:ptCount val="21"/>
                <c:pt idx="0">
                  <c:v>16.059999999999999</c:v>
                </c:pt>
                <c:pt idx="1">
                  <c:v>19.291800537109371</c:v>
                </c:pt>
                <c:pt idx="2">
                  <c:v>35.526280517578115</c:v>
                </c:pt>
                <c:pt idx="3">
                  <c:v>52.086195068359373</c:v>
                </c:pt>
                <c:pt idx="4">
                  <c:v>177.16227130174633</c:v>
                </c:pt>
                <c:pt idx="5">
                  <c:v>177.16227130174633</c:v>
                </c:pt>
                <c:pt idx="6">
                  <c:v>177.16227130174633</c:v>
                </c:pt>
                <c:pt idx="7">
                  <c:v>177.16227130174633</c:v>
                </c:pt>
                <c:pt idx="8">
                  <c:v>177.16227130174633</c:v>
                </c:pt>
                <c:pt idx="9">
                  <c:v>177.16227130174633</c:v>
                </c:pt>
                <c:pt idx="10">
                  <c:v>177.16227130174633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9-4729-BC83-E76E3F531599}"/>
            </c:ext>
          </c:extLst>
        </c:ser>
        <c:ser>
          <c:idx val="2"/>
          <c:order val="2"/>
          <c:tx>
            <c:v>Рабочий режим</c:v>
          </c:tx>
          <c:marker>
            <c:symbol val="circle"/>
            <c:size val="12"/>
            <c:spPr>
              <a:solidFill>
                <a:srgbClr val="FF0000"/>
              </a:solidFill>
            </c:spPr>
          </c:marker>
          <c:xVal>
            <c:numRef>
              <c:f>exercise_Integrated_Model!$G$41</c:f>
              <c:numCache>
                <c:formatCode>0.00</c:formatCode>
                <c:ptCount val="1"/>
                <c:pt idx="0">
                  <c:v>22.562548785896983</c:v>
                </c:pt>
              </c:numCache>
            </c:numRef>
          </c:xVal>
          <c:yVal>
            <c:numRef>
              <c:f>exercise_Integrated_Model!$G$40</c:f>
              <c:numCache>
                <c:formatCode>0</c:formatCode>
                <c:ptCount val="1"/>
                <c:pt idx="0">
                  <c:v>19.344323430817617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B9-4729-BC83-E76E3F531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№2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exercise_Integrated_Model!$E$43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exercise_Integrated_Model!$C$78:$C$98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exercise_Integrated_Model!$E$78:$E$98</c:f>
              <c:numCache>
                <c:formatCode>General</c:formatCode>
                <c:ptCount val="21"/>
                <c:pt idx="0">
                  <c:v>54.192741334022294</c:v>
                </c:pt>
                <c:pt idx="1">
                  <c:v>22.118802328702067</c:v>
                </c:pt>
                <c:pt idx="2">
                  <c:v>21.291852533590454</c:v>
                </c:pt>
                <c:pt idx="3">
                  <c:v>12.117839923665976</c:v>
                </c:pt>
                <c:pt idx="4">
                  <c:v>4.7782109662718746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9B-4EAB-B241-44C284CBBE15}"/>
            </c:ext>
          </c:extLst>
        </c:ser>
        <c:ser>
          <c:idx val="0"/>
          <c:order val="1"/>
          <c:tx>
            <c:strRef>
              <c:f>exercise_Integrated_Model!$F$43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exercise_Integrated_Model!$C$78:$C$98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exercise_Integrated_Model!$F$78:$F$98</c:f>
              <c:numCache>
                <c:formatCode>General</c:formatCode>
                <c:ptCount val="21"/>
                <c:pt idx="0">
                  <c:v>16.059999999999999</c:v>
                </c:pt>
                <c:pt idx="1">
                  <c:v>16.059999999999999</c:v>
                </c:pt>
                <c:pt idx="2">
                  <c:v>16.059999999999999</c:v>
                </c:pt>
                <c:pt idx="3">
                  <c:v>16.059999999999999</c:v>
                </c:pt>
                <c:pt idx="4">
                  <c:v>16.059999999999999</c:v>
                </c:pt>
                <c:pt idx="5">
                  <c:v>16.059999999999999</c:v>
                </c:pt>
                <c:pt idx="6">
                  <c:v>16.059999999999999</c:v>
                </c:pt>
                <c:pt idx="7">
                  <c:v>16.059999999999999</c:v>
                </c:pt>
                <c:pt idx="8">
                  <c:v>16.059999999999999</c:v>
                </c:pt>
                <c:pt idx="9">
                  <c:v>16.059999999999999</c:v>
                </c:pt>
                <c:pt idx="10">
                  <c:v>16.059999999999999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B-4EAB-B241-44C284CBBE15}"/>
            </c:ext>
          </c:extLst>
        </c:ser>
        <c:ser>
          <c:idx val="2"/>
          <c:order val="2"/>
          <c:tx>
            <c:v>Рабочий режим</c:v>
          </c:tx>
          <c:marker>
            <c:symbol val="circle"/>
            <c:size val="1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Pt>
            <c:idx val="0"/>
            <c:marker>
              <c:spPr>
                <a:solidFill>
                  <a:srgbClr val="00B05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49B-4EAB-B241-44C284CBBE15}"/>
              </c:ext>
            </c:extLst>
          </c:dPt>
          <c:xVal>
            <c:numRef>
              <c:f>exercise_Integrated_Model!$G$75</c:f>
              <c:numCache>
                <c:formatCode>0.00</c:formatCode>
                <c:ptCount val="1"/>
                <c:pt idx="0">
                  <c:v>115.40988342851381</c:v>
                </c:pt>
              </c:numCache>
            </c:numRef>
          </c:xVal>
          <c:yVal>
            <c:numRef>
              <c:f>exercise_Integrated_Model!$G$74</c:f>
              <c:numCache>
                <c:formatCode>0.00</c:formatCode>
                <c:ptCount val="1"/>
                <c:pt idx="0">
                  <c:v>15.823851443737704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9B-4EAB-B241-44C284CB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Система</a:t>
            </a:r>
            <a:r>
              <a:rPr lang="ru-RU" baseline="0"/>
              <a:t> сбора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exercise_Integrated_Model!$Z$26</c:f>
              <c:strCache>
                <c:ptCount val="1"/>
                <c:pt idx="0">
                  <c:v>P line</c:v>
                </c:pt>
              </c:strCache>
            </c:strRef>
          </c:tx>
          <c:xVal>
            <c:numRef>
              <c:f>exercise_Integrated_Model!$C$44:$C$64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exercise_Integrated_Model!$Z$27:$Z$37</c:f>
              <c:numCache>
                <c:formatCode>General</c:formatCode>
                <c:ptCount val="11"/>
                <c:pt idx="0">
                  <c:v>10.000852134005267</c:v>
                </c:pt>
                <c:pt idx="1">
                  <c:v>10.211358488702393</c:v>
                </c:pt>
                <c:pt idx="2">
                  <c:v>10.688523676087858</c:v>
                </c:pt>
                <c:pt idx="3">
                  <c:v>11.369242616391313</c:v>
                </c:pt>
                <c:pt idx="4">
                  <c:v>12.242944493796939</c:v>
                </c:pt>
                <c:pt idx="5">
                  <c:v>14.146537082660636</c:v>
                </c:pt>
                <c:pt idx="6">
                  <c:v>15.857900855880638</c:v>
                </c:pt>
                <c:pt idx="7">
                  <c:v>17.432880857821416</c:v>
                </c:pt>
                <c:pt idx="8">
                  <c:v>19.056785759794732</c:v>
                </c:pt>
                <c:pt idx="9">
                  <c:v>20.742453139082059</c:v>
                </c:pt>
                <c:pt idx="10">
                  <c:v>22.479705137879513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58-40C1-976A-DB314D27ADF2}"/>
            </c:ext>
          </c:extLst>
        </c:ser>
        <c:ser>
          <c:idx val="0"/>
          <c:order val="1"/>
          <c:tx>
            <c:strRef>
              <c:f>exercise_Integrated_Model!$AA$26</c:f>
              <c:strCache>
                <c:ptCount val="1"/>
                <c:pt idx="0">
                  <c:v>P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exercise_Integrated_Model!$C$44:$C$64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exercise_Integrated_Model!$AA$27:$AA$37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58-40C1-976A-DB314D27ADF2}"/>
            </c:ext>
          </c:extLst>
        </c:ser>
        <c:ser>
          <c:idx val="2"/>
          <c:order val="2"/>
          <c:tx>
            <c:v>Рабочая точка</c:v>
          </c:tx>
          <c:marker>
            <c:symbol val="circle"/>
            <c:size val="14"/>
            <c:spPr>
              <a:solidFill>
                <a:srgbClr val="002060"/>
              </a:solidFill>
            </c:spPr>
          </c:marker>
          <c:xVal>
            <c:numRef>
              <c:f>exercise_Integrated_Model!$O$26</c:f>
              <c:numCache>
                <c:formatCode>0.00</c:formatCode>
                <c:ptCount val="1"/>
                <c:pt idx="0">
                  <c:v>137.97243221441079</c:v>
                </c:pt>
              </c:numCache>
            </c:numRef>
          </c:xVal>
          <c:yVal>
            <c:numRef>
              <c:f>exercise_Integrated_Model!$O$27</c:f>
              <c:numCache>
                <c:formatCode>0.00</c:formatCode>
                <c:ptCount val="1"/>
                <c:pt idx="0">
                  <c:v>16.059999999999999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58-40C1-976A-DB314D27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627530</xdr:colOff>
      <xdr:row>21</xdr:row>
      <xdr:rowOff>67235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5056555" y="41038"/>
          <a:ext cx="5443357" cy="420599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</a:t>
          </a:r>
          <a:r>
            <a:rPr lang="en-US" sz="1100" baseline="0"/>
            <a:t> </a:t>
          </a:r>
          <a:r>
            <a:rPr lang="ru-RU" sz="1100" baseline="0"/>
            <a:t>показывает возможную схему построения простой интегрированной модели и найти рабочее состояние системы.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Система состоит из двух фонтанирующих скважин и трубопровода. Скважины состоят из модели пласта, подьемника и штуцера, для расчета трубопровода используется модель движения газожидкостной смеси в трубах.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Необходимо влючить в настройках Экселя циклические ссылки, чтобы добывающая система свелась к устойчивому решению.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Для каждой скважины находится дебит по узловому анализу на буфере. Кривая притока - пласт - скважина, кривая оттока - штуцер и система сбора.</a:t>
          </a:r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Так как перепад давления в штуцере зависит от давления на его выкиде (линейном давлении), которое в свою очередь зависит от перепада давления в трубопроводе, обеспечивающим перекачку продукции скважин, возникают циклические ссылки на линейном давлении.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изменится дебит скважин при разжатии штуцера?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скважины влияют друг на друга?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системы трубопровод, в частности, его диаметр?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влияет на добычу давление в конечной точке системы? (На УПН например)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14</xdr:col>
      <xdr:colOff>196102</xdr:colOff>
      <xdr:row>46</xdr:row>
      <xdr:rowOff>129988</xdr:rowOff>
    </xdr:from>
    <xdr:to>
      <xdr:col>21</xdr:col>
      <xdr:colOff>459441</xdr:colOff>
      <xdr:row>65</xdr:row>
      <xdr:rowOff>134472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D99B56E-1545-4111-B380-5780F10DA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627530</xdr:colOff>
      <xdr:row>30</xdr:row>
      <xdr:rowOff>44822</xdr:rowOff>
    </xdr:from>
    <xdr:to>
      <xdr:col>14</xdr:col>
      <xdr:colOff>134471</xdr:colOff>
      <xdr:row>47</xdr:row>
      <xdr:rowOff>33618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D0ACA2D-006D-4DC0-B372-81D48F99F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560296</xdr:colOff>
      <xdr:row>46</xdr:row>
      <xdr:rowOff>134470</xdr:rowOff>
    </xdr:from>
    <xdr:to>
      <xdr:col>14</xdr:col>
      <xdr:colOff>201706</xdr:colOff>
      <xdr:row>66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638847AC-64AB-4420-8C6A-BB8D5D4D3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145681</xdr:colOff>
      <xdr:row>30</xdr:row>
      <xdr:rowOff>33620</xdr:rowOff>
    </xdr:from>
    <xdr:to>
      <xdr:col>21</xdr:col>
      <xdr:colOff>437029</xdr:colOff>
      <xdr:row>46</xdr:row>
      <xdr:rowOff>112058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9664DBB8-7CF9-49E0-B0B4-07BC313A2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324971</xdr:colOff>
      <xdr:row>12</xdr:row>
      <xdr:rowOff>67234</xdr:rowOff>
    </xdr:from>
    <xdr:to>
      <xdr:col>29</xdr:col>
      <xdr:colOff>145675</xdr:colOff>
      <xdr:row>16</xdr:row>
      <xdr:rowOff>11205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A43F81FD-648F-4C5A-8E81-92A2195E4309}"/>
            </a:ext>
          </a:extLst>
        </xdr:cNvPr>
        <xdr:cNvSpPr/>
      </xdr:nvSpPr>
      <xdr:spPr>
        <a:xfrm>
          <a:off x="16472647" y="2207558"/>
          <a:ext cx="2846293" cy="8740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Скважина</a:t>
          </a:r>
          <a:r>
            <a:rPr lang="ru-RU" sz="1600" baseline="0"/>
            <a:t> №1</a:t>
          </a:r>
        </a:p>
        <a:p>
          <a:pPr algn="ctr"/>
          <a:r>
            <a:rPr lang="ru-RU" sz="1600" baseline="0"/>
            <a:t>(пласт+подъемник+штуцер)</a:t>
          </a:r>
          <a:endParaRPr lang="ru-RU" sz="1600"/>
        </a:p>
      </xdr:txBody>
    </xdr:sp>
    <xdr:clientData/>
  </xdr:twoCellAnchor>
  <xdr:twoCellAnchor>
    <xdr:from>
      <xdr:col>24</xdr:col>
      <xdr:colOff>336176</xdr:colOff>
      <xdr:row>17</xdr:row>
      <xdr:rowOff>112059</xdr:rowOff>
    </xdr:from>
    <xdr:to>
      <xdr:col>29</xdr:col>
      <xdr:colOff>156880</xdr:colOff>
      <xdr:row>21</xdr:row>
      <xdr:rowOff>100853</xdr:rowOff>
    </xdr:to>
    <xdr:sp macro="" textlink="">
      <xdr:nvSpPr>
        <xdr:cNvPr id="11" name="Прямоугольник 10">
          <a:extLst>
            <a:ext uri="{FF2B5EF4-FFF2-40B4-BE49-F238E27FC236}">
              <a16:creationId xmlns:a16="http://schemas.microsoft.com/office/drawing/2014/main" id="{7B9D9462-7165-4ACD-9C8A-6ACC7415D0EE}"/>
            </a:ext>
          </a:extLst>
        </xdr:cNvPr>
        <xdr:cNvSpPr/>
      </xdr:nvSpPr>
      <xdr:spPr>
        <a:xfrm>
          <a:off x="16483852" y="3406588"/>
          <a:ext cx="2846293" cy="8740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Скважина</a:t>
          </a:r>
          <a:r>
            <a:rPr lang="ru-RU" sz="1600" baseline="0"/>
            <a:t> №2</a:t>
          </a:r>
        </a:p>
        <a:p>
          <a:pPr algn="ctr"/>
          <a:r>
            <a:rPr lang="ru-RU" sz="1600" baseline="0"/>
            <a:t>(пласт+подъемник+штуцер)</a:t>
          </a:r>
          <a:endParaRPr lang="ru-RU" sz="1600"/>
        </a:p>
      </xdr:txBody>
    </xdr:sp>
    <xdr:clientData/>
  </xdr:twoCellAnchor>
  <xdr:twoCellAnchor>
    <xdr:from>
      <xdr:col>30</xdr:col>
      <xdr:colOff>257735</xdr:colOff>
      <xdr:row>16</xdr:row>
      <xdr:rowOff>112059</xdr:rowOff>
    </xdr:from>
    <xdr:to>
      <xdr:col>34</xdr:col>
      <xdr:colOff>515470</xdr:colOff>
      <xdr:row>17</xdr:row>
      <xdr:rowOff>201707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7ACE3C99-2108-4280-BD7E-CDE37B546007}"/>
            </a:ext>
          </a:extLst>
        </xdr:cNvPr>
        <xdr:cNvSpPr/>
      </xdr:nvSpPr>
      <xdr:spPr>
        <a:xfrm>
          <a:off x="20036117" y="3182471"/>
          <a:ext cx="2678206" cy="3137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400"/>
            <a:t>Трубопровод</a:t>
          </a:r>
        </a:p>
      </xdr:txBody>
    </xdr:sp>
    <xdr:clientData/>
  </xdr:twoCellAnchor>
  <xdr:twoCellAnchor>
    <xdr:from>
      <xdr:col>29</xdr:col>
      <xdr:colOff>145675</xdr:colOff>
      <xdr:row>14</xdr:row>
      <xdr:rowOff>33617</xdr:rowOff>
    </xdr:from>
    <xdr:to>
      <xdr:col>30</xdr:col>
      <xdr:colOff>257735</xdr:colOff>
      <xdr:row>17</xdr:row>
      <xdr:rowOff>44825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2C97093F-4FBB-4D46-9836-C10D0759779F}"/>
            </a:ext>
          </a:extLst>
        </xdr:cNvPr>
        <xdr:cNvCxnSpPr>
          <a:stCxn id="4" idx="3"/>
          <a:endCxn id="5" idx="1"/>
        </xdr:cNvCxnSpPr>
      </xdr:nvCxnSpPr>
      <xdr:spPr>
        <a:xfrm>
          <a:off x="19318940" y="2644588"/>
          <a:ext cx="717177" cy="6947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156880</xdr:colOff>
      <xdr:row>17</xdr:row>
      <xdr:rowOff>44825</xdr:rowOff>
    </xdr:from>
    <xdr:to>
      <xdr:col>30</xdr:col>
      <xdr:colOff>257735</xdr:colOff>
      <xdr:row>19</xdr:row>
      <xdr:rowOff>89647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FDBA8D42-DC9E-4BEB-BD58-505F159A5F6A}"/>
            </a:ext>
          </a:extLst>
        </xdr:cNvPr>
        <xdr:cNvCxnSpPr>
          <a:stCxn id="11" idx="3"/>
          <a:endCxn id="5" idx="1"/>
        </xdr:cNvCxnSpPr>
      </xdr:nvCxnSpPr>
      <xdr:spPr>
        <a:xfrm flipV="1">
          <a:off x="19330145" y="3339354"/>
          <a:ext cx="705972" cy="5042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235324</xdr:colOff>
      <xdr:row>24</xdr:row>
      <xdr:rowOff>112060</xdr:rowOff>
    </xdr:from>
    <xdr:to>
      <xdr:col>21</xdr:col>
      <xdr:colOff>224118</xdr:colOff>
      <xdr:row>29</xdr:row>
      <xdr:rowOff>212912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4A1B18C2-6516-43C0-B48F-6C89608BB48F}"/>
            </a:ext>
          </a:extLst>
        </xdr:cNvPr>
        <xdr:cNvSpPr/>
      </xdr:nvSpPr>
      <xdr:spPr>
        <a:xfrm>
          <a:off x="10925736" y="4896972"/>
          <a:ext cx="4000500" cy="117661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После</a:t>
          </a:r>
          <a:r>
            <a:rPr lang="ru-RU" sz="1100" baseline="0"/>
            <a:t> включения циклических ссылок в настройках укажите ссылку </a:t>
          </a:r>
          <a:r>
            <a:rPr lang="en-US" sz="1100" baseline="0"/>
            <a:t>pline </a:t>
          </a:r>
          <a:r>
            <a:rPr lang="ru-RU" sz="1100" baseline="0"/>
            <a:t>на </a:t>
          </a:r>
          <a:r>
            <a:rPr lang="en-US" sz="1100" baseline="0"/>
            <a:t>pline calc </a:t>
          </a:r>
          <a:r>
            <a:rPr lang="ru-RU" sz="1100" baseline="0"/>
            <a:t>вместо </a:t>
          </a:r>
          <a:r>
            <a:rPr lang="en-US" sz="1100" baseline="0"/>
            <a:t>pline manual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UniflocVBA_7"/>
    </sheetNames>
    <definedNames>
      <definedName name="crv_intersection"/>
      <definedName name="IPR_pi_sm3dayatm"/>
      <definedName name="IPR_pwf_atma"/>
      <definedName name="IPR_qliq_sm3day"/>
      <definedName name="MF_p_choke_atma"/>
      <definedName name="MF_p_pipeline_atma"/>
      <definedName name="PVT_encode_string"/>
      <definedName name="PVT_pb_atma"/>
      <definedName name="unf_Versio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AA88"/>
  <sheetViews>
    <sheetView tabSelected="1" topLeftCell="A2" zoomScale="85" zoomScaleNormal="85" workbookViewId="0">
      <selection activeCell="Y49" sqref="Y49"/>
    </sheetView>
  </sheetViews>
  <sheetFormatPr defaultRowHeight="12.75" x14ac:dyDescent="0.2"/>
  <cols>
    <col min="2" max="2" width="14.8554687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14" max="14" width="11.42578125" bestFit="1" customWidth="1"/>
    <col min="15" max="15" width="12.28515625" bestFit="1" customWidth="1"/>
    <col min="17" max="17" width="14.7109375" customWidth="1"/>
    <col min="22" max="32" width="9.140625" customWidth="1"/>
  </cols>
  <sheetData>
    <row r="1" spans="1:12" x14ac:dyDescent="0.2">
      <c r="A1" s="1" t="s">
        <v>4</v>
      </c>
      <c r="F1" t="s">
        <v>32</v>
      </c>
      <c r="G1" t="str">
        <f>[1]!unf_Version()</f>
        <v>7.24</v>
      </c>
      <c r="H1" t="s">
        <v>37</v>
      </c>
      <c r="I1" s="20">
        <v>44028</v>
      </c>
      <c r="J1" s="21"/>
      <c r="K1" s="21"/>
      <c r="L1" s="21"/>
    </row>
    <row r="2" spans="1:12" x14ac:dyDescent="0.2">
      <c r="A2" t="s">
        <v>51</v>
      </c>
      <c r="H2" t="s">
        <v>38</v>
      </c>
      <c r="I2" s="22">
        <v>7.24</v>
      </c>
      <c r="J2" s="21"/>
      <c r="K2" s="21"/>
      <c r="L2" s="21"/>
    </row>
    <row r="3" spans="1:12" ht="15" x14ac:dyDescent="0.25">
      <c r="A3" s="23" t="s">
        <v>39</v>
      </c>
      <c r="B3" s="44" t="s">
        <v>40</v>
      </c>
      <c r="C3" s="45"/>
      <c r="D3" s="45"/>
      <c r="E3" s="46"/>
      <c r="H3" t="s">
        <v>41</v>
      </c>
      <c r="I3" s="21" t="s">
        <v>40</v>
      </c>
      <c r="J3" s="21"/>
      <c r="K3" s="21"/>
      <c r="L3" s="21"/>
    </row>
    <row r="4" spans="1:12" ht="15" x14ac:dyDescent="0.25">
      <c r="A4" s="23" t="s">
        <v>42</v>
      </c>
      <c r="B4" s="44" t="s">
        <v>43</v>
      </c>
      <c r="C4" s="45"/>
      <c r="D4" s="45"/>
      <c r="E4" s="46"/>
      <c r="H4" t="s">
        <v>44</v>
      </c>
      <c r="I4" s="21" t="s">
        <v>43</v>
      </c>
      <c r="J4" s="21"/>
      <c r="K4" s="21"/>
      <c r="L4" s="21"/>
    </row>
    <row r="5" spans="1:12" ht="15" x14ac:dyDescent="0.25">
      <c r="A5" s="23" t="s">
        <v>45</v>
      </c>
      <c r="B5" s="44" t="s">
        <v>46</v>
      </c>
      <c r="C5" s="45"/>
      <c r="D5" s="45"/>
      <c r="E5" s="46"/>
      <c r="H5" t="s">
        <v>47</v>
      </c>
      <c r="I5" s="21" t="s">
        <v>46</v>
      </c>
      <c r="J5" s="21"/>
      <c r="K5" s="21"/>
      <c r="L5" s="21"/>
    </row>
    <row r="6" spans="1:12" x14ac:dyDescent="0.2">
      <c r="A6" s="24" t="s">
        <v>48</v>
      </c>
      <c r="B6" s="47" t="s">
        <v>49</v>
      </c>
      <c r="C6" s="48"/>
      <c r="D6" s="48"/>
      <c r="E6" s="49"/>
      <c r="H6" s="25" t="s">
        <v>50</v>
      </c>
      <c r="I6" s="26" t="s">
        <v>49</v>
      </c>
      <c r="J6" s="26"/>
      <c r="K6" s="26"/>
      <c r="L6" s="26"/>
    </row>
    <row r="7" spans="1:12" x14ac:dyDescent="0.2">
      <c r="A7" s="27"/>
      <c r="B7" s="50"/>
      <c r="C7" s="51"/>
      <c r="D7" s="51"/>
      <c r="E7" s="52"/>
      <c r="H7" s="25"/>
      <c r="I7" s="26"/>
      <c r="J7" s="26"/>
      <c r="K7" s="26"/>
      <c r="L7" s="26"/>
    </row>
    <row r="8" spans="1:12" x14ac:dyDescent="0.2">
      <c r="A8" s="28"/>
      <c r="B8" s="53"/>
      <c r="C8" s="54"/>
      <c r="D8" s="54"/>
      <c r="E8" s="55"/>
      <c r="H8" s="25"/>
      <c r="I8" s="26"/>
      <c r="J8" s="26"/>
      <c r="K8" s="26"/>
      <c r="L8" s="26"/>
    </row>
    <row r="10" spans="1:12" x14ac:dyDescent="0.2">
      <c r="A10" s="1" t="s">
        <v>5</v>
      </c>
    </row>
    <row r="11" spans="1:12" ht="18.75" x14ac:dyDescent="0.35">
      <c r="B11" s="3" t="s">
        <v>6</v>
      </c>
      <c r="C11" s="2">
        <v>0.88</v>
      </c>
      <c r="D11" s="4"/>
      <c r="E11" s="19">
        <f>gamma_oil_*1000</f>
        <v>880</v>
      </c>
      <c r="F11" s="10" t="s">
        <v>33</v>
      </c>
    </row>
    <row r="12" spans="1:12" ht="18.75" x14ac:dyDescent="0.35">
      <c r="B12" s="5" t="s">
        <v>7</v>
      </c>
      <c r="C12" s="2">
        <v>1</v>
      </c>
      <c r="D12" s="4"/>
      <c r="E12" s="19">
        <f>gamma_wat_*1000</f>
        <v>1000</v>
      </c>
      <c r="F12" s="10" t="s">
        <v>33</v>
      </c>
    </row>
    <row r="13" spans="1:12" ht="18.75" x14ac:dyDescent="0.35">
      <c r="B13" s="5" t="s">
        <v>8</v>
      </c>
      <c r="C13" s="2">
        <v>0.8</v>
      </c>
      <c r="D13" s="4"/>
      <c r="E13" s="19">
        <f>gamma_gas_*1.22</f>
        <v>0.97599999999999998</v>
      </c>
      <c r="F13" s="10" t="s">
        <v>33</v>
      </c>
    </row>
    <row r="14" spans="1:12" ht="18.75" x14ac:dyDescent="0.35">
      <c r="B14" s="6" t="s">
        <v>9</v>
      </c>
      <c r="C14" s="2">
        <v>80</v>
      </c>
      <c r="D14" s="5" t="s">
        <v>10</v>
      </c>
      <c r="E14" s="19">
        <f>Rsb_/gamma_oil_</f>
        <v>90.909090909090907</v>
      </c>
      <c r="F14" s="10" t="s">
        <v>34</v>
      </c>
    </row>
    <row r="15" spans="1:12" ht="18.75" x14ac:dyDescent="0.35">
      <c r="B15" s="6" t="s">
        <v>11</v>
      </c>
      <c r="C15" s="2">
        <v>80</v>
      </c>
      <c r="D15" s="5" t="s">
        <v>10</v>
      </c>
      <c r="E15" s="19">
        <f>Rsb_/gamma_oil_</f>
        <v>90.909090909090907</v>
      </c>
      <c r="F15" s="10" t="s">
        <v>34</v>
      </c>
    </row>
    <row r="16" spans="1:12" ht="18" x14ac:dyDescent="0.35">
      <c r="B16" s="5" t="s">
        <v>12</v>
      </c>
      <c r="C16" s="2">
        <v>120</v>
      </c>
      <c r="D16" s="5" t="s">
        <v>13</v>
      </c>
      <c r="E16" s="19">
        <f>Pb_cal_*1.01325/10</f>
        <v>12.159000000000001</v>
      </c>
      <c r="F16" s="10" t="s">
        <v>14</v>
      </c>
    </row>
    <row r="17" spans="1:27" ht="18" x14ac:dyDescent="0.35">
      <c r="B17" s="5" t="s">
        <v>15</v>
      </c>
      <c r="C17" s="2">
        <v>100</v>
      </c>
      <c r="D17" s="8" t="s">
        <v>26</v>
      </c>
      <c r="E17" s="19">
        <f>Tres_*9/5+32</f>
        <v>212</v>
      </c>
      <c r="F17" s="10" t="s">
        <v>16</v>
      </c>
    </row>
    <row r="18" spans="1:27" ht="18.75" x14ac:dyDescent="0.35">
      <c r="B18" s="6" t="s">
        <v>17</v>
      </c>
      <c r="C18" s="2">
        <v>1.2</v>
      </c>
      <c r="D18" s="5" t="s">
        <v>10</v>
      </c>
      <c r="E18" s="5"/>
      <c r="F18" s="4"/>
    </row>
    <row r="19" spans="1:27" ht="18" x14ac:dyDescent="0.35">
      <c r="B19" s="7" t="s">
        <v>18</v>
      </c>
      <c r="C19" s="2">
        <v>1</v>
      </c>
      <c r="D19" s="5" t="s">
        <v>19</v>
      </c>
      <c r="E19" s="5"/>
      <c r="F19" s="4"/>
    </row>
    <row r="20" spans="1:27" ht="15.75" x14ac:dyDescent="0.3">
      <c r="B20" s="7" t="s">
        <v>21</v>
      </c>
      <c r="C20" s="2">
        <v>50</v>
      </c>
      <c r="D20" s="5" t="s">
        <v>1</v>
      </c>
      <c r="E20" s="18">
        <f>fw_/100</f>
        <v>0.5</v>
      </c>
      <c r="F20" s="10" t="s">
        <v>35</v>
      </c>
    </row>
    <row r="21" spans="1:27" ht="18" x14ac:dyDescent="0.35">
      <c r="B21" s="6" t="s">
        <v>20</v>
      </c>
      <c r="C21" s="9">
        <f>[1]!PVT_pb_atma(Tres_,gamma_gas_,gamma_oil_,gamma_wat_,Rsb_,Rp_,Pb_cal_,Tres_,Bob_,muob_)</f>
        <v>119.99999999999999</v>
      </c>
      <c r="D21" s="5" t="s">
        <v>13</v>
      </c>
      <c r="E21" s="19">
        <f>Pb_*1.01325/10</f>
        <v>12.158999999999999</v>
      </c>
      <c r="F21" s="10" t="s">
        <v>14</v>
      </c>
    </row>
    <row r="22" spans="1:27" ht="15" x14ac:dyDescent="0.2">
      <c r="B22" s="6" t="s">
        <v>71</v>
      </c>
      <c r="C22" s="34">
        <v>20</v>
      </c>
      <c r="D22" s="8" t="s">
        <v>26</v>
      </c>
    </row>
    <row r="23" spans="1:27" ht="15" x14ac:dyDescent="0.25">
      <c r="B23" s="7" t="s">
        <v>36</v>
      </c>
      <c r="C23" s="12" t="str">
        <f t="array" ref="C23">[1]!PVT_encode_string(gamma_gas_,gamma_oil_,gamma_wat_,Rsb_,Rp_,Pb_cal_,Tres_,Bob_,muob_)</f>
        <v>gamma_gas:0,800;gamma_oil:0,880;gamma_wat:1,000;rsb_m3m3:80,000;rp_m3m3:80,000;pb_atma:120,000;tres_C:100,000;bob_m3m3:1,200;muob_cP:1,000;PVTcorr:0;ksep_fr:0,000;p_ksep_atma:-1,000;t_ksep_C:-1,000;gas_only:False;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4"/>
      <c r="U23" s="15"/>
      <c r="V23" s="15"/>
      <c r="W23" s="15"/>
    </row>
    <row r="24" spans="1:27" ht="18" customHeight="1" x14ac:dyDescent="0.2"/>
    <row r="25" spans="1:27" ht="18" customHeight="1" x14ac:dyDescent="0.2">
      <c r="A25" s="11" t="s">
        <v>31</v>
      </c>
      <c r="F25" t="s">
        <v>56</v>
      </c>
      <c r="H25" s="29"/>
      <c r="I25" t="s">
        <v>57</v>
      </c>
      <c r="J25" s="29"/>
    </row>
    <row r="26" spans="1:27" ht="18" x14ac:dyDescent="0.35">
      <c r="B26" s="7" t="s">
        <v>2</v>
      </c>
      <c r="C26" s="2">
        <v>10</v>
      </c>
      <c r="D26" s="4"/>
      <c r="F26" s="37" t="s">
        <v>59</v>
      </c>
      <c r="G26" s="37" t="s">
        <v>60</v>
      </c>
      <c r="H26" s="29"/>
      <c r="I26" s="37" t="s">
        <v>58</v>
      </c>
      <c r="J26" s="5" t="s">
        <v>61</v>
      </c>
      <c r="N26" s="5" t="s">
        <v>80</v>
      </c>
      <c r="O26" s="35">
        <f>G41+G75</f>
        <v>137.97243221441079</v>
      </c>
      <c r="W26" s="37" t="s">
        <v>58</v>
      </c>
      <c r="X26" s="37" t="s">
        <v>59</v>
      </c>
      <c r="Z26" s="41" t="s">
        <v>69</v>
      </c>
      <c r="AA26" s="41" t="s">
        <v>84</v>
      </c>
    </row>
    <row r="27" spans="1:27" ht="15" x14ac:dyDescent="0.25">
      <c r="B27" s="7" t="s">
        <v>66</v>
      </c>
      <c r="C27" s="2">
        <v>0</v>
      </c>
      <c r="D27" s="4"/>
      <c r="F27" s="37" t="s">
        <v>62</v>
      </c>
      <c r="G27" s="37" t="s">
        <v>26</v>
      </c>
      <c r="H27" s="29"/>
      <c r="I27" s="37" t="s">
        <v>62</v>
      </c>
      <c r="J27" s="37" t="s">
        <v>63</v>
      </c>
      <c r="N27" s="6" t="s">
        <v>81</v>
      </c>
      <c r="O27" s="43">
        <f>O28</f>
        <v>16.059999999999999</v>
      </c>
      <c r="W27" s="37" t="s">
        <v>62</v>
      </c>
      <c r="X27" s="37" t="s">
        <v>62</v>
      </c>
      <c r="Z27" s="36">
        <f>[1]!MF_p_pipeline_atma($X$33,tsurface_c,tsurface_c,$W$28:$X$29,$X$34,C44,fw_,,PVT_str_,1)</f>
        <v>10.000852134005267</v>
      </c>
      <c r="AA27" s="36">
        <f>$X$33</f>
        <v>10</v>
      </c>
    </row>
    <row r="28" spans="1:27" ht="15" x14ac:dyDescent="0.25">
      <c r="B28" s="7" t="s">
        <v>67</v>
      </c>
      <c r="C28" s="2">
        <v>0</v>
      </c>
      <c r="D28" s="4"/>
      <c r="F28" s="38">
        <v>0</v>
      </c>
      <c r="G28" s="38">
        <f>tsurface_c</f>
        <v>20</v>
      </c>
      <c r="H28" s="29"/>
      <c r="I28" s="38">
        <v>0</v>
      </c>
      <c r="J28" s="39">
        <v>62</v>
      </c>
      <c r="N28" s="6" t="s">
        <v>82</v>
      </c>
      <c r="O28" s="35">
        <v>16.059999999999999</v>
      </c>
      <c r="W28" s="40">
        <v>0</v>
      </c>
      <c r="X28" s="40">
        <v>10</v>
      </c>
      <c r="Z28" s="36">
        <f>[1]!MF_p_pipeline_atma($X$33,tsurface_c,tsurface_c,$W$28:$X$29,$X$34,C45,fw_,,PVT_str_,1)</f>
        <v>10.211358488702393</v>
      </c>
      <c r="AA28" s="36">
        <f t="shared" ref="AA28:AA37" si="0">$X$33</f>
        <v>10</v>
      </c>
    </row>
    <row r="29" spans="1:27" ht="19.5" customHeight="1" x14ac:dyDescent="0.2">
      <c r="F29" s="38">
        <v>1500</v>
      </c>
      <c r="G29" s="38">
        <v>35</v>
      </c>
      <c r="H29" s="29"/>
      <c r="I29" s="38">
        <v>2500</v>
      </c>
      <c r="J29" s="39">
        <v>125</v>
      </c>
      <c r="N29" s="5" t="s">
        <v>83</v>
      </c>
      <c r="O29" s="35">
        <f>[1]!MF_p_pipeline_atma($X$33,tsurface_c,tsurface_c,$W$28:$X$29,$X$34,O26,fw_,,PVT_str_,1)</f>
        <v>16.081492013856838</v>
      </c>
      <c r="W29" s="40">
        <v>20000</v>
      </c>
      <c r="X29" s="40">
        <v>10</v>
      </c>
      <c r="Z29" s="36">
        <f>[1]!MF_p_pipeline_atma($X$33,tsurface_c,tsurface_c,$W$28:$X$29,$X$34,C46,fw_,,PVT_str_,1)</f>
        <v>10.688523676087858</v>
      </c>
      <c r="AA29" s="36">
        <f t="shared" si="0"/>
        <v>10</v>
      </c>
    </row>
    <row r="30" spans="1:27" ht="19.5" customHeight="1" x14ac:dyDescent="0.2">
      <c r="F30" s="38">
        <v>2500</v>
      </c>
      <c r="G30" s="38">
        <v>90</v>
      </c>
      <c r="H30" s="29"/>
      <c r="I30" s="38"/>
      <c r="J30" s="39"/>
      <c r="Z30" s="36">
        <f>[1]!MF_p_pipeline_atma($X$33,tsurface_c,tsurface_c,$W$28:$X$29,$X$34,C47,fw_,,PVT_str_,1)</f>
        <v>11.369242616391313</v>
      </c>
      <c r="AA30" s="36">
        <f t="shared" si="0"/>
        <v>10</v>
      </c>
    </row>
    <row r="31" spans="1:27" x14ac:dyDescent="0.2">
      <c r="A31" s="1" t="s">
        <v>52</v>
      </c>
      <c r="W31" s="1" t="s">
        <v>68</v>
      </c>
      <c r="Z31" s="36">
        <f>[1]!MF_p_pipeline_atma($X$33,tsurface_c,tsurface_c,$W$28:$X$29,$X$34,C48,fw_,,PVT_str_,1)</f>
        <v>12.242944493796939</v>
      </c>
      <c r="AA31" s="36">
        <f t="shared" si="0"/>
        <v>10</v>
      </c>
    </row>
    <row r="32" spans="1:27" x14ac:dyDescent="0.2">
      <c r="A32" s="1" t="s">
        <v>3</v>
      </c>
      <c r="B32" s="1"/>
      <c r="C32" s="1"/>
      <c r="D32" s="1"/>
      <c r="Z32" s="36">
        <f>[1]!MF_p_pipeline_atma($X$33,tsurface_c,tsurface_c,$W$28:$X$29,$X$34,C49,fw_,,PVT_str_,1)</f>
        <v>14.146537082660636</v>
      </c>
      <c r="AA32" s="36">
        <f t="shared" si="0"/>
        <v>10</v>
      </c>
    </row>
    <row r="33" spans="1:27" ht="15.75" x14ac:dyDescent="0.3">
      <c r="B33" s="7" t="s">
        <v>22</v>
      </c>
      <c r="C33" s="42">
        <v>100</v>
      </c>
      <c r="D33" s="5" t="s">
        <v>28</v>
      </c>
      <c r="F33" s="7" t="s">
        <v>65</v>
      </c>
      <c r="G33" s="42">
        <v>2500</v>
      </c>
      <c r="W33" s="7" t="s">
        <v>70</v>
      </c>
      <c r="X33" s="42">
        <v>10</v>
      </c>
      <c r="Z33" s="36">
        <f>[1]!MF_p_pipeline_atma($X$33,tsurface_c,tsurface_c,$W$28:$X$29,$X$34,C50,fw_,,PVT_str_,1)</f>
        <v>15.857900855880638</v>
      </c>
      <c r="AA33" s="36">
        <f t="shared" si="0"/>
        <v>10</v>
      </c>
    </row>
    <row r="34" spans="1:27" ht="15.75" x14ac:dyDescent="0.3">
      <c r="B34" s="7" t="s">
        <v>23</v>
      </c>
      <c r="C34" s="42">
        <v>160</v>
      </c>
      <c r="D34" s="5" t="s">
        <v>27</v>
      </c>
      <c r="W34" s="7" t="s">
        <v>72</v>
      </c>
      <c r="X34" s="43">
        <v>100</v>
      </c>
      <c r="Z34" s="36">
        <f>[1]!MF_p_pipeline_atma($X$33,tsurface_c,tsurface_c,$W$28:$X$29,$X$34,C51,fw_,,PVT_str_,1)</f>
        <v>17.432880857821416</v>
      </c>
      <c r="AA34" s="36">
        <f t="shared" si="0"/>
        <v>10</v>
      </c>
    </row>
    <row r="35" spans="1:27" x14ac:dyDescent="0.2">
      <c r="Z35" s="36">
        <f>[1]!MF_p_pipeline_atma($X$33,tsurface_c,tsurface_c,$W$28:$X$29,$X$34,C52,fw_,,PVT_str_,1)</f>
        <v>19.056785759794732</v>
      </c>
      <c r="AA35" s="36">
        <f t="shared" si="0"/>
        <v>10</v>
      </c>
    </row>
    <row r="36" spans="1:27" x14ac:dyDescent="0.2">
      <c r="A36" s="1" t="s">
        <v>0</v>
      </c>
      <c r="Z36" s="36">
        <f>[1]!MF_p_pipeline_atma($X$33,tsurface_c,tsurface_c,$W$28:$X$29,$X$34,C53,fw_,,PVT_str_,1)</f>
        <v>20.742453139082059</v>
      </c>
      <c r="AA36" s="36">
        <f t="shared" si="0"/>
        <v>10</v>
      </c>
    </row>
    <row r="37" spans="1:27" ht="15.75" x14ac:dyDescent="0.3">
      <c r="B37" s="7" t="s">
        <v>25</v>
      </c>
      <c r="C37" s="2">
        <v>250</v>
      </c>
      <c r="D37" s="5" t="s">
        <v>27</v>
      </c>
      <c r="F37" s="7" t="s">
        <v>73</v>
      </c>
      <c r="G37" s="42">
        <v>5</v>
      </c>
      <c r="Z37" s="36">
        <f>[1]!MF_p_pipeline_atma($X$33,tsurface_c,tsurface_c,$W$28:$X$29,$X$34,C54,fw_,,PVT_str_,1)</f>
        <v>22.479705137879513</v>
      </c>
      <c r="AA37" s="36">
        <f t="shared" si="0"/>
        <v>10</v>
      </c>
    </row>
    <row r="38" spans="1:27" ht="15" x14ac:dyDescent="0.25">
      <c r="B38" s="7" t="s">
        <v>24</v>
      </c>
      <c r="C38" s="16">
        <f t="array" ref="C38">[1]!IPR_pi_sm3dayatm(qltest_,Pwftest_,Pres_,fw_,Pb_)</f>
        <v>1.1111111111111112</v>
      </c>
      <c r="D38" s="5" t="s">
        <v>29</v>
      </c>
      <c r="F38" s="7" t="s">
        <v>74</v>
      </c>
      <c r="G38" s="16">
        <v>10</v>
      </c>
    </row>
    <row r="39" spans="1:27" ht="15.75" x14ac:dyDescent="0.3">
      <c r="B39" s="5" t="s">
        <v>30</v>
      </c>
      <c r="C39" s="17">
        <f t="array" ref="C39">[1]!IPR_qliq_sm3day(PI_,Pres_,1,fw_,Pb_)</f>
        <v>224.50746711964291</v>
      </c>
      <c r="D39" s="5" t="s">
        <v>28</v>
      </c>
      <c r="F39" s="5" t="s">
        <v>78</v>
      </c>
      <c r="G39" s="17">
        <f>[1]!IPR_pwf_atma($C$38,input_2,G41,fw_,Pb_)</f>
        <v>229.69370609269271</v>
      </c>
    </row>
    <row r="40" spans="1:27" ht="15" x14ac:dyDescent="0.25">
      <c r="F40" s="7" t="s">
        <v>79</v>
      </c>
      <c r="G40" s="17">
        <f>[1]!MF_p_pipeline_atma(G39,Tres_,$F$28:$G$30,$G$33,$I$28:$J$30,G41,fw_,,PVT_str_,0,$C$27,$C$28)</f>
        <v>19.344323430817617</v>
      </c>
    </row>
    <row r="41" spans="1:27" ht="15" x14ac:dyDescent="0.25">
      <c r="F41" s="7" t="s">
        <v>77</v>
      </c>
      <c r="G41" s="16">
        <f>[1]!crv_intersection(C44:C54,E44:E54,C44:C54,F44:F54)</f>
        <v>22.562548785896983</v>
      </c>
    </row>
    <row r="43" spans="1:27" x14ac:dyDescent="0.2">
      <c r="B43" s="41"/>
      <c r="C43" s="41" t="s">
        <v>53</v>
      </c>
      <c r="D43" s="41" t="s">
        <v>54</v>
      </c>
      <c r="E43" s="41" t="s">
        <v>76</v>
      </c>
      <c r="F43" s="41" t="s">
        <v>75</v>
      </c>
    </row>
    <row r="44" spans="1:27" x14ac:dyDescent="0.2">
      <c r="B44" s="41">
        <v>1</v>
      </c>
      <c r="C44" s="36">
        <v>0</v>
      </c>
      <c r="D44" s="36">
        <f>[1]!IPR_pwf_atma(PI_,input_2,C44,fw_,Pb_)</f>
        <v>250</v>
      </c>
      <c r="E44" s="36">
        <f>[1]!MF_p_pipeline_atma(D44,Tres_,$F$28:$G$30,$G$33,$I$28:$J$30,C44,fw_,,PVT_str_,0,$C$27,$C$28)</f>
        <v>54.191395741483326</v>
      </c>
      <c r="F44" s="36">
        <f>[1]!MF_p_choke_atma(C44,fw_,$G$37,pline_calc,0,$G$38,tsurface_c,,PVT_str_)</f>
        <v>16.059999999999999</v>
      </c>
    </row>
    <row r="45" spans="1:27" x14ac:dyDescent="0.2">
      <c r="B45" s="41">
        <v>2</v>
      </c>
      <c r="C45" s="36">
        <f t="shared" ref="C45:C54" si="1">C44+qmax_/N_</f>
        <v>22.450746711964293</v>
      </c>
      <c r="D45" s="36">
        <f>[1]!IPR_pwf_atma(PI_,input_2,C45,fw_,Pb_)</f>
        <v>229.79432795923213</v>
      </c>
      <c r="E45" s="36">
        <f>[1]!MF_p_pipeline_atma(D45,Tres_,$F$28:$G$30,$G$33,$I$28:$J$30,C45,fw_,,PVT_str_,0,$C$27,$C$28)</f>
        <v>19.385161916749396</v>
      </c>
      <c r="F45" s="36">
        <f>[1]!MF_p_choke_atma(C45,fw_,$G$37,pline_calc,0,$G$38,tsurface_c,,PVT_str_)</f>
        <v>19.291800537109371</v>
      </c>
    </row>
    <row r="46" spans="1:27" x14ac:dyDescent="0.2">
      <c r="B46" s="41">
        <v>3</v>
      </c>
      <c r="C46" s="36">
        <f t="shared" si="1"/>
        <v>44.901493423928585</v>
      </c>
      <c r="D46" s="36">
        <f>[1]!IPR_pwf_atma(PI_,input_2,C46,fw_,Pb_)</f>
        <v>209.58865591846427</v>
      </c>
      <c r="E46" s="36">
        <f>[1]!MF_p_pipeline_atma(D46,Tres_,$F$28:$G$30,$G$33,$I$28:$J$30,C46,fw_,,PVT_str_,0,$C$27,$C$28)</f>
        <v>16.871933440220317</v>
      </c>
      <c r="F46" s="36">
        <f>[1]!MF_p_choke_atma(C46,fw_,$G$37,pline_calc,0,$G$38,tsurface_c,,PVT_str_)</f>
        <v>35.526280517578115</v>
      </c>
    </row>
    <row r="47" spans="1:27" x14ac:dyDescent="0.2">
      <c r="B47" s="41">
        <v>4</v>
      </c>
      <c r="C47" s="36">
        <f t="shared" si="1"/>
        <v>67.352240135892885</v>
      </c>
      <c r="D47" s="36">
        <f>[1]!IPR_pwf_atma(PI_,input_2,C47,fw_,Pb_)</f>
        <v>189.3829838776964</v>
      </c>
      <c r="E47" s="36">
        <f>[1]!MF_p_pipeline_atma(D47,Tres_,$F$28:$G$30,$G$33,$I$28:$J$30,C47,fw_,,PVT_str_,0,$C$27,$C$28)</f>
        <v>11.533214357696346</v>
      </c>
      <c r="F47" s="36">
        <f>[1]!MF_p_choke_atma(C47,fw_,$G$37,pline_calc,0,$G$38,tsurface_c,,PVT_str_)</f>
        <v>52.086195068359373</v>
      </c>
    </row>
    <row r="48" spans="1:27" x14ac:dyDescent="0.2">
      <c r="B48" s="41">
        <v>5</v>
      </c>
      <c r="C48" s="36">
        <f t="shared" si="1"/>
        <v>89.80298684785717</v>
      </c>
      <c r="D48" s="36">
        <f>[1]!IPR_pwf_atma(PI_,input_2,C48,fw_,Pb_)</f>
        <v>169.17731183692854</v>
      </c>
      <c r="E48" s="36">
        <f>[1]!MF_p_pipeline_atma(D48,Tres_,$F$28:$G$30,$G$33,$I$28:$J$30,C48,fw_,,PVT_str_,0,$C$27,$C$28)</f>
        <v>4.7460475997644807</v>
      </c>
      <c r="F48" s="36">
        <f>[1]!MF_p_choke_atma(C48,fw_,$G$37,pline_calc,0,$G$38,tsurface_c,,PVT_str_)</f>
        <v>177.16227130174633</v>
      </c>
    </row>
    <row r="49" spans="2:6" x14ac:dyDescent="0.2">
      <c r="B49" s="41">
        <v>6</v>
      </c>
      <c r="C49" s="36">
        <f t="shared" si="1"/>
        <v>112.25373355982146</v>
      </c>
      <c r="D49" s="36">
        <f>[1]!IPR_pwf_atma(PI_,input_2,C49,fw_,Pb_)</f>
        <v>148.9716397961607</v>
      </c>
      <c r="E49" s="36">
        <f>[1]!MF_p_pipeline_atma(D49,Tres_,$F$28:$G$30,$G$33,$I$28:$J$30,C49,fw_,,PVT_str_,0,$C$27,$C$28)</f>
        <v>0</v>
      </c>
      <c r="F49" s="36">
        <f>[1]!MF_p_choke_atma(C49,fw_,$G$37,pline_calc,0,$G$38,tsurface_c,,PVT_str_)</f>
        <v>177.16227130174633</v>
      </c>
    </row>
    <row r="50" spans="2:6" x14ac:dyDescent="0.2">
      <c r="B50" s="41">
        <v>7</v>
      </c>
      <c r="C50" s="36">
        <f t="shared" si="1"/>
        <v>134.70448027178574</v>
      </c>
      <c r="D50" s="36">
        <f>[1]!IPR_pwf_atma(PI_,input_2,C50,fw_,Pb_)</f>
        <v>128.76596775539284</v>
      </c>
      <c r="E50" s="36">
        <f>[1]!MF_p_pipeline_atma(D50,Tres_,$F$28:$G$30,$G$33,$I$28:$J$30,C50,fw_,,PVT_str_,0,$C$27,$C$28)</f>
        <v>0</v>
      </c>
      <c r="F50" s="36">
        <f>[1]!MF_p_choke_atma(C50,fw_,$G$37,pline_calc,0,$G$38,tsurface_c,,PVT_str_)</f>
        <v>177.16227130174633</v>
      </c>
    </row>
    <row r="51" spans="2:6" x14ac:dyDescent="0.2">
      <c r="B51" s="41">
        <v>8</v>
      </c>
      <c r="C51" s="36">
        <f t="shared" si="1"/>
        <v>157.15522698375003</v>
      </c>
      <c r="D51" s="36">
        <f>[1]!IPR_pwf_atma(PI_,input_2,C51,fw_,Pb_)</f>
        <v>108.29494250654452</v>
      </c>
      <c r="E51" s="36">
        <f>[1]!MF_p_pipeline_atma(D51,Tres_,$F$28:$G$30,$G$33,$I$28:$J$30,C51,fw_,,PVT_str_,0,$C$27,$C$28)</f>
        <v>0</v>
      </c>
      <c r="F51" s="36">
        <f>[1]!MF_p_choke_atma(C51,fw_,$G$37,pline_calc,0,$G$38,tsurface_c,,PVT_str_)</f>
        <v>177.16227130174633</v>
      </c>
    </row>
    <row r="52" spans="2:6" x14ac:dyDescent="0.2">
      <c r="B52" s="41">
        <v>9</v>
      </c>
      <c r="C52" s="36">
        <f t="shared" si="1"/>
        <v>179.60597369571431</v>
      </c>
      <c r="D52" s="36">
        <f>[1]!IPR_pwf_atma(PI_,input_2,C52,fw_,Pb_)</f>
        <v>85.872708958868301</v>
      </c>
      <c r="E52" s="36">
        <f>[1]!MF_p_pipeline_atma(D52,Tres_,$F$28:$G$30,$G$33,$I$28:$J$30,C52,fw_,,PVT_str_,0,$C$27,$C$28)</f>
        <v>0</v>
      </c>
      <c r="F52" s="36">
        <f>[1]!MF_p_choke_atma(C52,fw_,$G$37,pline_calc,0,$G$38,tsurface_c,,PVT_str_)</f>
        <v>177.16227130174633</v>
      </c>
    </row>
    <row r="53" spans="2:6" x14ac:dyDescent="0.2">
      <c r="B53" s="41">
        <v>10</v>
      </c>
      <c r="C53" s="36">
        <f t="shared" si="1"/>
        <v>202.0567204076786</v>
      </c>
      <c r="D53" s="36">
        <f>[1]!IPR_pwf_atma(PI_,input_2,C53,fw_,Pb_)</f>
        <v>59.075310194042174</v>
      </c>
      <c r="E53" s="36">
        <f>[1]!MF_p_pipeline_atma(D53,Tres_,$F$28:$G$30,$G$33,$I$28:$J$30,C53,fw_,,PVT_str_,0,$C$27,$C$28)</f>
        <v>0</v>
      </c>
      <c r="F53" s="36">
        <f>[1]!MF_p_choke_atma(C53,fw_,$G$37,pline_calc,0,$G$38,tsurface_c,,PVT_str_)</f>
        <v>177.16227130174633</v>
      </c>
    </row>
    <row r="54" spans="2:6" x14ac:dyDescent="0.2">
      <c r="B54" s="41">
        <v>11</v>
      </c>
      <c r="C54" s="36">
        <f t="shared" si="1"/>
        <v>224.50746711964288</v>
      </c>
      <c r="D54" s="36">
        <f>[1]!IPR_pwf_atma(PI_,input_2,C54,fw_,Pb_)</f>
        <v>1.0000000000001039</v>
      </c>
      <c r="E54" s="36">
        <f>[1]!MF_p_pipeline_atma(D54,Tres_,$F$28:$G$30,$G$33,$I$28:$J$30,C54,fw_,,PVT_str_,0,$C$27,$C$28)</f>
        <v>0</v>
      </c>
      <c r="F54" s="36">
        <f>[1]!MF_p_choke_atma(C54,fw_,$G$37,pline_calc,0,$G$38,tsurface_c,,PVT_str_)</f>
        <v>177.16227130174633</v>
      </c>
    </row>
    <row r="65" spans="1:10" x14ac:dyDescent="0.2">
      <c r="A65" s="1" t="s">
        <v>55</v>
      </c>
    </row>
    <row r="66" spans="1:10" x14ac:dyDescent="0.2">
      <c r="A66" s="1" t="s">
        <v>3</v>
      </c>
      <c r="B66" s="1"/>
      <c r="C66" s="1"/>
      <c r="D66" s="1"/>
      <c r="I66" t="s">
        <v>57</v>
      </c>
      <c r="J66" s="29"/>
    </row>
    <row r="67" spans="1:10" ht="18" x14ac:dyDescent="0.35">
      <c r="B67" s="7" t="s">
        <v>22</v>
      </c>
      <c r="C67" s="42">
        <v>200</v>
      </c>
      <c r="D67" s="5" t="s">
        <v>28</v>
      </c>
      <c r="F67" s="7" t="s">
        <v>65</v>
      </c>
      <c r="G67" s="42">
        <v>2500</v>
      </c>
      <c r="I67" s="30" t="s">
        <v>58</v>
      </c>
      <c r="J67" s="31" t="s">
        <v>61</v>
      </c>
    </row>
    <row r="68" spans="1:10" ht="15.75" x14ac:dyDescent="0.3">
      <c r="B68" s="7" t="s">
        <v>23</v>
      </c>
      <c r="C68" s="42">
        <v>160</v>
      </c>
      <c r="D68" s="5" t="s">
        <v>27</v>
      </c>
      <c r="I68" s="30" t="s">
        <v>62</v>
      </c>
      <c r="J68" s="30" t="s">
        <v>63</v>
      </c>
    </row>
    <row r="69" spans="1:10" x14ac:dyDescent="0.2">
      <c r="I69" s="32">
        <v>0</v>
      </c>
      <c r="J69" s="33">
        <v>72</v>
      </c>
    </row>
    <row r="70" spans="1:10" x14ac:dyDescent="0.2">
      <c r="A70" s="1" t="s">
        <v>0</v>
      </c>
      <c r="I70" s="32">
        <v>2500</v>
      </c>
      <c r="J70" s="33">
        <v>72</v>
      </c>
    </row>
    <row r="71" spans="1:10" ht="15.75" x14ac:dyDescent="0.3">
      <c r="B71" s="7" t="s">
        <v>25</v>
      </c>
      <c r="C71" s="2">
        <f>input_2</f>
        <v>250</v>
      </c>
      <c r="D71" s="5" t="s">
        <v>27</v>
      </c>
      <c r="F71" s="7" t="s">
        <v>73</v>
      </c>
      <c r="G71" s="42">
        <v>32</v>
      </c>
      <c r="I71" s="32"/>
      <c r="J71" s="33"/>
    </row>
    <row r="72" spans="1:10" ht="15" x14ac:dyDescent="0.25">
      <c r="B72" s="7" t="s">
        <v>24</v>
      </c>
      <c r="C72" s="16">
        <f t="array" ref="C72">[1]!IPR_pi_sm3dayatm($C$67,$C$68,Pres_,fw_,Pb_)</f>
        <v>2.2222222222222223</v>
      </c>
      <c r="D72" s="5" t="s">
        <v>29</v>
      </c>
      <c r="F72" s="7" t="s">
        <v>74</v>
      </c>
      <c r="G72" s="16">
        <v>32</v>
      </c>
    </row>
    <row r="73" spans="1:10" ht="15.75" x14ac:dyDescent="0.3">
      <c r="B73" s="5" t="s">
        <v>30</v>
      </c>
      <c r="C73" s="17">
        <f t="array" ref="C73">[1]!IPR_qliq_sm3day($C$72,Pres_,1,fw_,Pb_)</f>
        <v>449.01493423928582</v>
      </c>
      <c r="D73" s="5" t="s">
        <v>28</v>
      </c>
      <c r="F73" s="5" t="s">
        <v>78</v>
      </c>
      <c r="G73" s="17">
        <f>[1]!IPR_pwf_atma($C$72,input_2,G75,fw_,Pb_)</f>
        <v>198.06555245716879</v>
      </c>
    </row>
    <row r="74" spans="1:10" ht="15" x14ac:dyDescent="0.25">
      <c r="F74" s="7" t="s">
        <v>79</v>
      </c>
      <c r="G74" s="16">
        <f>[1]!MF_p_pipeline_atma(G73,Tres_,$F$28:$G$30,$G$67,$I$69:$J$71,G75,fw_,,PVT_str_,0,$C$27,$C$28)</f>
        <v>15.823851443737704</v>
      </c>
    </row>
    <row r="75" spans="1:10" ht="15" x14ac:dyDescent="0.25">
      <c r="F75" s="7" t="s">
        <v>77</v>
      </c>
      <c r="G75" s="16">
        <f>[1]!crv_intersection(C78:C88,E78:E88,C78:C88,F78:F88)</f>
        <v>115.40988342851381</v>
      </c>
    </row>
    <row r="77" spans="1:10" x14ac:dyDescent="0.2">
      <c r="B77" s="41"/>
      <c r="C77" s="41" t="s">
        <v>53</v>
      </c>
      <c r="D77" s="41" t="s">
        <v>54</v>
      </c>
      <c r="E77" s="41" t="s">
        <v>64</v>
      </c>
      <c r="F77" s="41" t="s">
        <v>75</v>
      </c>
    </row>
    <row r="78" spans="1:10" x14ac:dyDescent="0.2">
      <c r="B78" s="41">
        <v>1</v>
      </c>
      <c r="C78" s="36">
        <v>0</v>
      </c>
      <c r="D78" s="36">
        <f>[1]!IPR_pwf_atma($C$72,input_2,C78,fw_,Pb_)</f>
        <v>250</v>
      </c>
      <c r="E78" s="36">
        <f>[1]!MF_p_pipeline_atma(D78,Tres_,$F$28:$G$30,$G$67,$I$69:$J$71,C78,fw_,,PVT_str_,0,$C$27,$C$28)</f>
        <v>54.192741334022294</v>
      </c>
      <c r="F78" s="36">
        <f>[1]!MF_p_choke_atma(C78,fw_,$G$71,pline_calc,0,$G$72,tsurface_c,,PVT_str_)</f>
        <v>16.059999999999999</v>
      </c>
    </row>
    <row r="79" spans="1:10" x14ac:dyDescent="0.2">
      <c r="B79" s="41">
        <v>2</v>
      </c>
      <c r="C79" s="36">
        <f t="shared" ref="C79:C88" si="2">C78+$C$73/N_</f>
        <v>44.901493423928585</v>
      </c>
      <c r="D79" s="36">
        <f>[1]!IPR_pwf_atma($C$72,input_2,C79,fw_,Pb_)</f>
        <v>229.79432795923213</v>
      </c>
      <c r="E79" s="36">
        <f>[1]!MF_p_pipeline_atma(D79,Tres_,$F$28:$G$30,$G$67,$I$69:$J$71,C79,fw_,,PVT_str_,0,$C$27,$C$28)</f>
        <v>22.118802328702067</v>
      </c>
      <c r="F79" s="36">
        <f>[1]!MF_p_choke_atma(C79,fw_,$G$71,pline_calc,0,$G$72,tsurface_c,,PVT_str_)</f>
        <v>16.059999999999999</v>
      </c>
    </row>
    <row r="80" spans="1:10" x14ac:dyDescent="0.2">
      <c r="B80" s="41">
        <v>3</v>
      </c>
      <c r="C80" s="36">
        <f t="shared" si="2"/>
        <v>89.80298684785717</v>
      </c>
      <c r="D80" s="36">
        <f>[1]!IPR_pwf_atma($C$72,input_2,C80,fw_,Pb_)</f>
        <v>209.58865591846427</v>
      </c>
      <c r="E80" s="36">
        <f>[1]!MF_p_pipeline_atma(D80,Tres_,$F$28:$G$30,$G$67,$I$69:$J$71,C80,fw_,,PVT_str_,0,$C$27,$C$28)</f>
        <v>21.291852533590454</v>
      </c>
      <c r="F80" s="36">
        <f>[1]!MF_p_choke_atma(C80,fw_,$G$71,pline_calc,0,$G$72,tsurface_c,,PVT_str_)</f>
        <v>16.059999999999999</v>
      </c>
    </row>
    <row r="81" spans="2:6" x14ac:dyDescent="0.2">
      <c r="B81" s="41">
        <v>4</v>
      </c>
      <c r="C81" s="36">
        <f t="shared" si="2"/>
        <v>134.70448027178577</v>
      </c>
      <c r="D81" s="36">
        <f>[1]!IPR_pwf_atma($C$72,input_2,C81,fw_,Pb_)</f>
        <v>189.3829838776964</v>
      </c>
      <c r="E81" s="36">
        <f>[1]!MF_p_pipeline_atma(D81,Tres_,$F$28:$G$30,$G$67,$I$69:$J$71,C81,fw_,,PVT_str_,0,$C$27,$C$28)</f>
        <v>12.117839923665976</v>
      </c>
      <c r="F81" s="36">
        <f>[1]!MF_p_choke_atma(C81,fw_,$G$71,pline_calc,0,$G$72,tsurface_c,,PVT_str_)</f>
        <v>16.059999999999999</v>
      </c>
    </row>
    <row r="82" spans="2:6" x14ac:dyDescent="0.2">
      <c r="B82" s="41">
        <v>5</v>
      </c>
      <c r="C82" s="36">
        <f t="shared" si="2"/>
        <v>179.60597369571434</v>
      </c>
      <c r="D82" s="36">
        <f>[1]!IPR_pwf_atma($C$72,input_2,C82,fw_,Pb_)</f>
        <v>169.17731183692854</v>
      </c>
      <c r="E82" s="36">
        <f>[1]!MF_p_pipeline_atma(D82,Tres_,$F$28:$G$30,$G$67,$I$69:$J$71,C82,fw_,,PVT_str_,0,$C$27,$C$28)</f>
        <v>4.7782109662718746</v>
      </c>
      <c r="F82" s="36">
        <f>[1]!MF_p_choke_atma(C82,fw_,$G$71,pline_calc,0,$G$72,tsurface_c,,PVT_str_)</f>
        <v>16.059999999999999</v>
      </c>
    </row>
    <row r="83" spans="2:6" x14ac:dyDescent="0.2">
      <c r="B83" s="41">
        <v>6</v>
      </c>
      <c r="C83" s="36">
        <f t="shared" si="2"/>
        <v>224.50746711964291</v>
      </c>
      <c r="D83" s="36">
        <f>[1]!IPR_pwf_atma($C$72,input_2,C83,fw_,Pb_)</f>
        <v>148.9716397961607</v>
      </c>
      <c r="E83" s="36">
        <f>[1]!MF_p_pipeline_atma(D83,Tres_,$F$28:$G$30,$G$67,$I$69:$J$71,C83,fw_,,PVT_str_,0,$C$27,$C$28)</f>
        <v>0</v>
      </c>
      <c r="F83" s="36">
        <f>[1]!MF_p_choke_atma(C83,fw_,$G$71,pline_calc,0,$G$72,tsurface_c,,PVT_str_)</f>
        <v>16.059999999999999</v>
      </c>
    </row>
    <row r="84" spans="2:6" x14ac:dyDescent="0.2">
      <c r="B84" s="41">
        <v>7</v>
      </c>
      <c r="C84" s="36">
        <f t="shared" si="2"/>
        <v>269.40896054357148</v>
      </c>
      <c r="D84" s="36">
        <f>[1]!IPR_pwf_atma($C$72,input_2,C84,fw_,Pb_)</f>
        <v>128.76596775539284</v>
      </c>
      <c r="E84" s="36">
        <f>[1]!MF_p_pipeline_atma(D84,Tres_,$F$28:$G$30,$G$67,$I$69:$J$71,C84,fw_,,PVT_str_,0,$C$27,$C$28)</f>
        <v>0</v>
      </c>
      <c r="F84" s="36">
        <f>[1]!MF_p_choke_atma(C84,fw_,$G$71,pline_calc,0,$G$72,tsurface_c,,PVT_str_)</f>
        <v>16.059999999999999</v>
      </c>
    </row>
    <row r="85" spans="2:6" x14ac:dyDescent="0.2">
      <c r="B85" s="41">
        <v>8</v>
      </c>
      <c r="C85" s="36">
        <f t="shared" si="2"/>
        <v>314.31045396750005</v>
      </c>
      <c r="D85" s="36">
        <f>[1]!IPR_pwf_atma($C$72,input_2,C85,fw_,Pb_)</f>
        <v>108.29494250654452</v>
      </c>
      <c r="E85" s="36">
        <f>[1]!MF_p_pipeline_atma(D85,Tres_,$F$28:$G$30,$G$67,$I$69:$J$71,C85,fw_,,PVT_str_,0,$C$27,$C$28)</f>
        <v>0</v>
      </c>
      <c r="F85" s="36">
        <f>[1]!MF_p_choke_atma(C85,fw_,$G$71,pline_calc,0,$G$72,tsurface_c,,PVT_str_)</f>
        <v>16.059999999999999</v>
      </c>
    </row>
    <row r="86" spans="2:6" x14ac:dyDescent="0.2">
      <c r="B86" s="41">
        <v>9</v>
      </c>
      <c r="C86" s="36">
        <f t="shared" si="2"/>
        <v>359.21194739142862</v>
      </c>
      <c r="D86" s="36">
        <f>[1]!IPR_pwf_atma($C$72,input_2,C86,fw_,Pb_)</f>
        <v>85.872708958868301</v>
      </c>
      <c r="E86" s="36">
        <f>[1]!MF_p_pipeline_atma(D86,Tres_,$F$28:$G$30,$G$67,$I$69:$J$71,C86,fw_,,PVT_str_,0,$C$27,$C$28)</f>
        <v>0</v>
      </c>
      <c r="F86" s="36">
        <f>[1]!MF_p_choke_atma(C86,fw_,$G$71,pline_calc,0,$G$72,tsurface_c,,PVT_str_)</f>
        <v>16.059999999999999</v>
      </c>
    </row>
    <row r="87" spans="2:6" x14ac:dyDescent="0.2">
      <c r="B87" s="41">
        <v>10</v>
      </c>
      <c r="C87" s="36">
        <f t="shared" si="2"/>
        <v>404.11344081535719</v>
      </c>
      <c r="D87" s="36">
        <f>[1]!IPR_pwf_atma($C$72,input_2,C87,fw_,Pb_)</f>
        <v>59.075310194042174</v>
      </c>
      <c r="E87" s="36">
        <f>[1]!MF_p_pipeline_atma(D87,Tres_,$F$28:$G$30,$G$67,$I$69:$J$71,C87,fw_,,PVT_str_,0,$C$27,$C$28)</f>
        <v>0</v>
      </c>
      <c r="F87" s="36">
        <f>[1]!MF_p_choke_atma(C87,fw_,$G$71,pline_calc,0,$G$72,tsurface_c,,PVT_str_)</f>
        <v>16.059999999999999</v>
      </c>
    </row>
    <row r="88" spans="2:6" x14ac:dyDescent="0.2">
      <c r="B88" s="41">
        <v>11</v>
      </c>
      <c r="C88" s="36">
        <f t="shared" si="2"/>
        <v>449.01493423928576</v>
      </c>
      <c r="D88" s="36">
        <f>[1]!IPR_pwf_atma($C$72,input_2,C88,fw_,Pb_)</f>
        <v>1.0000000000001039</v>
      </c>
      <c r="E88" s="36">
        <f>[1]!MF_p_pipeline_atma(D88,Tres_,$F$28:$G$30,$G$67,$I$69:$J$71,C88,fw_,,PVT_str_,0,$C$27,$C$28)</f>
        <v>0</v>
      </c>
      <c r="F88" s="36">
        <f>[1]!MF_p_choke_atma(C88,fw_,$G$71,pline_calc,0,$G$72,tsurface_c,,PVT_str_)</f>
        <v>16.059999999999999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32</vt:i4>
      </vt:variant>
    </vt:vector>
  </HeadingPairs>
  <TitlesOfParts>
    <vt:vector size="33" baseType="lpstr">
      <vt:lpstr>exercise_Integrated_Model</vt:lpstr>
      <vt:lpstr>exercise_Integrated_Model!Bob_</vt:lpstr>
      <vt:lpstr>exercise_Integrated_Model!fw_</vt:lpstr>
      <vt:lpstr>exercise_Integrated_Model!gamma_gas_</vt:lpstr>
      <vt:lpstr>exercise_Integrated_Model!gamma_oil_</vt:lpstr>
      <vt:lpstr>exercise_Integrated_Model!gamma_wat_</vt:lpstr>
      <vt:lpstr>exercise_Integrated_Model!input_0</vt:lpstr>
      <vt:lpstr>exercise_Integrated_Model!input_1</vt:lpstr>
      <vt:lpstr>exercise_Integrated_Model!input_2</vt:lpstr>
      <vt:lpstr>exercise_Integrated_Model!input_Course</vt:lpstr>
      <vt:lpstr>exercise_Integrated_Model!input_Date</vt:lpstr>
      <vt:lpstr>exercise_Integrated_Model!input_Group</vt:lpstr>
      <vt:lpstr>exercise_Integrated_Model!input_Notes</vt:lpstr>
      <vt:lpstr>exercise_Integrated_Model!input_Student_Name</vt:lpstr>
      <vt:lpstr>exercise_Integrated_Model!input_Version</vt:lpstr>
      <vt:lpstr>exercise_Integrated_Model!muob_</vt:lpstr>
      <vt:lpstr>exercise_Integrated_Model!N_</vt:lpstr>
      <vt:lpstr>exercise_Integrated_Model!output_0</vt:lpstr>
      <vt:lpstr>exercise_Integrated_Model!output_1</vt:lpstr>
      <vt:lpstr>exercise_Integrated_Model!Pb_</vt:lpstr>
      <vt:lpstr>exercise_Integrated_Model!Pb_cal_</vt:lpstr>
      <vt:lpstr>exercise_Integrated_Model!PI_</vt:lpstr>
      <vt:lpstr>PI_2</vt:lpstr>
      <vt:lpstr>pline_calc</vt:lpstr>
      <vt:lpstr>exercise_Integrated_Model!Pres_</vt:lpstr>
      <vt:lpstr>exercise_Integrated_Model!PVT_str_</vt:lpstr>
      <vt:lpstr>exercise_Integrated_Model!Pwftest_</vt:lpstr>
      <vt:lpstr>exercise_Integrated_Model!qltest_</vt:lpstr>
      <vt:lpstr>exercise_Integrated_Model!qmax_</vt:lpstr>
      <vt:lpstr>exercise_Integrated_Model!Rp_</vt:lpstr>
      <vt:lpstr>exercise_Integrated_Model!Rsb_</vt:lpstr>
      <vt:lpstr>exercise_Integrated_Model!Tres_</vt:lpstr>
      <vt:lpstr>tsurface_c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Олег Кобзарь</cp:lastModifiedBy>
  <cp:lastPrinted>2007-08-27T05:31:44Z</cp:lastPrinted>
  <dcterms:created xsi:type="dcterms:W3CDTF">2005-04-11T05:46:28Z</dcterms:created>
  <dcterms:modified xsi:type="dcterms:W3CDTF">2020-07-16T18:21:26Z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